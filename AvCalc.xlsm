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ld\Documents\Prosjekter\AvCalc\"/>
    </mc:Choice>
  </mc:AlternateContent>
  <xr:revisionPtr revIDLastSave="0" documentId="13_ncr:1_{47919B41-015E-4E3C-AE4D-C25F87E66984}" xr6:coauthVersionLast="47" xr6:coauthVersionMax="47" xr10:uidLastSave="{00000000-0000-0000-0000-000000000000}"/>
  <bookViews>
    <workbookView xWindow="-120" yWindow="-120" windowWidth="29040" windowHeight="15720" xr2:uid="{00347356-D15B-440C-844F-E9CB77D6466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" i="1" l="1" a="1"/>
  <c r="F37" i="1" a="1"/>
  <c r="F53" i="1"/>
  <c r="E13" i="1"/>
  <c r="F12" i="1"/>
  <c r="F26" i="1"/>
  <c r="E17" i="1"/>
  <c r="E11" i="1"/>
  <c r="E21" i="1"/>
  <c r="E12" i="1"/>
  <c r="F9" i="1"/>
  <c r="E10" i="1"/>
  <c r="F14" i="1"/>
  <c r="E9" i="1"/>
  <c r="F17" i="1"/>
  <c r="F16" i="1"/>
  <c r="E14" i="1"/>
  <c r="F20" i="1"/>
  <c r="F19" i="1"/>
  <c r="E16" i="1"/>
  <c r="E18" i="1"/>
  <c r="F13" i="1"/>
  <c r="F15" i="1"/>
  <c r="F22" i="1"/>
  <c r="F11" i="1"/>
  <c r="E19" i="1"/>
  <c r="F18" i="1"/>
  <c r="G5" i="1"/>
  <c r="F10" i="1"/>
  <c r="F46" i="1"/>
  <c r="E15" i="1"/>
  <c r="F21" i="1"/>
  <c r="F28" i="1"/>
  <c r="E20" i="1"/>
  <c r="E22" i="1"/>
  <c r="F41" i="1" l="1"/>
  <c r="F37" i="1"/>
  <c r="G36" i="1" s="1"/>
  <c r="G28" i="1"/>
  <c r="G46" i="1"/>
  <c r="G26" i="1"/>
  <c r="G53" i="1"/>
  <c r="G38" i="1" l="1"/>
  <c r="G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<sst xmlns="http://schemas.openxmlformats.org/spreadsheetml/2006/main" count="58" uniqueCount="51">
  <si>
    <t>A01</t>
  </si>
  <si>
    <t>A02</t>
  </si>
  <si>
    <t>A03</t>
  </si>
  <si>
    <t>A04</t>
  </si>
  <si>
    <t>A05</t>
  </si>
  <si>
    <t>A06</t>
  </si>
  <si>
    <t>SDA</t>
  </si>
  <si>
    <t>KR530</t>
  </si>
  <si>
    <t>DOGOD</t>
  </si>
  <si>
    <t>SB422</t>
  </si>
  <si>
    <t>AMPIS</t>
  </si>
  <si>
    <t>ZV853</t>
  </si>
  <si>
    <t>LAPOT</t>
  </si>
  <si>
    <t>6000N</t>
  </si>
  <si>
    <t>00040E</t>
  </si>
  <si>
    <t>6059.84N</t>
  </si>
  <si>
    <t>00040.03E</t>
  </si>
  <si>
    <t>7130N</t>
  </si>
  <si>
    <t>02601E</t>
  </si>
  <si>
    <t>7229.75N</t>
  </si>
  <si>
    <t>02601.05E</t>
  </si>
  <si>
    <t>5951.95N</t>
  </si>
  <si>
    <t>00517.49W</t>
  </si>
  <si>
    <t>7202.93N</t>
  </si>
  <si>
    <t>01637.36E</t>
  </si>
  <si>
    <t>701403.32N</t>
  </si>
  <si>
    <t>0280412.70E</t>
  </si>
  <si>
    <t>695217.34N</t>
  </si>
  <si>
    <t>0301943.62E</t>
  </si>
  <si>
    <t>775728.70N</t>
  </si>
  <si>
    <t>0174305.90E</t>
  </si>
  <si>
    <t>583758.10N</t>
  </si>
  <si>
    <t>0042626.50E</t>
  </si>
  <si>
    <t>583417.82N</t>
  </si>
  <si>
    <t>0051715.89E</t>
  </si>
  <si>
    <t>782306.89N</t>
  </si>
  <si>
    <t>0152618.61E</t>
  </si>
  <si>
    <t>700802.54N</t>
  </si>
  <si>
    <t>0284313.16E</t>
  </si>
  <si>
    <t>LatText</t>
  </si>
  <si>
    <t>LonText</t>
  </si>
  <si>
    <t>LatDD</t>
  </si>
  <si>
    <t>LonDD</t>
  </si>
  <si>
    <t>Brng</t>
  </si>
  <si>
    <t>Bearing</t>
  </si>
  <si>
    <t>774916.78N</t>
  </si>
  <si>
    <t>SUSES</t>
  </si>
  <si>
    <t>0150700.96E</t>
  </si>
  <si>
    <t>17E</t>
  </si>
  <si>
    <t>17W</t>
  </si>
  <si>
    <t>775728.70N0174305.90E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</si>
</sst>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2" borderId="0" xfId="0" applyNumberFormat="1" applyFill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6" fmlaLink="$E$37" horiz="1" max="10000" page="10" val="65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55</xdr:row>
          <xdr:rowOff>66675</xdr:rowOff>
        </xdr:from>
        <xdr:to>
          <xdr:col>17</xdr:col>
          <xdr:colOff>333375</xdr:colOff>
          <xdr:row>57</xdr:row>
          <xdr:rowOff>28575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4BD5D-A6C3-44CF-AB7E-B47233CAB4E2}">
  <sheetPr codeName="Sheet1"/>
  <dimension ref="B5:M54"/>
  <sheetViews>
    <sheetView tabSelected="1" topLeftCell="A31" workbookViewId="0">
      <selection activeCell="L48" sqref="L48"/>
    </sheetView>
  </sheetViews>
  <sheetFormatPr baseColWidth="10" defaultColWidth="9.140625" defaultRowHeight="15" x14ac:dyDescent="0.25"/>
  <cols>
    <col min="2" max="2" width="7.28515625" bestFit="1" customWidth="1"/>
    <col min="3" max="3" width="10.85546875" bestFit="1" customWidth="1"/>
    <col min="4" max="4" width="11.5703125" bestFit="1" customWidth="1"/>
    <col min="5" max="5" width="12" bestFit="1" customWidth="1"/>
    <col min="6" max="6" width="12.7109375" bestFit="1" customWidth="1"/>
    <col min="7" max="7" width="11.28515625" customWidth="1"/>
  </cols>
  <sheetData>
    <row r="5" spans="2:8" x14ac:dyDescent="0.25">
      <c r="G5">
        <f>GetBearing(69,17,69,-17,0.5)+360</f>
        <v>270</v>
      </c>
    </row>
    <row r="8" spans="2:8" x14ac:dyDescent="0.25">
      <c r="C8" t="s">
        <v>39</v>
      </c>
      <c r="D8" t="s">
        <v>40</v>
      </c>
      <c r="E8" t="s">
        <v>41</v>
      </c>
      <c r="F8" t="s">
        <v>42</v>
      </c>
      <c r="H8" t="s">
        <v>43</v>
      </c>
    </row>
    <row r="9" spans="2:8" x14ac:dyDescent="0.25">
      <c r="B9" t="s">
        <v>0</v>
      </c>
      <c r="C9" t="s">
        <v>13</v>
      </c>
      <c r="D9" t="s">
        <v>14</v>
      </c>
      <c r="E9">
        <f>ParseLat(C9)</f>
        <v>60</v>
      </c>
      <c r="F9">
        <f>ParseLon(D9)</f>
        <v>0.66666666666666663</v>
      </c>
    </row>
    <row r="10" spans="2:8" x14ac:dyDescent="0.25">
      <c r="B10" t="s">
        <v>1</v>
      </c>
      <c r="C10" t="s">
        <v>15</v>
      </c>
      <c r="D10" t="s">
        <v>16</v>
      </c>
      <c r="E10">
        <f t="shared" ref="E10:E21" si="0">ParseLat(C10)</f>
        <v>60.99733333333333</v>
      </c>
      <c r="F10">
        <f t="shared" ref="F10:F21" si="1">ParseLon(D10)</f>
        <v>0.66716666666666669</v>
      </c>
    </row>
    <row r="11" spans="2:8" x14ac:dyDescent="0.25">
      <c r="B11" t="s">
        <v>2</v>
      </c>
      <c r="C11" t="s">
        <v>17</v>
      </c>
      <c r="D11" t="s">
        <v>18</v>
      </c>
      <c r="E11">
        <f t="shared" si="0"/>
        <v>71.5</v>
      </c>
      <c r="F11">
        <f t="shared" si="1"/>
        <v>26.016666666666666</v>
      </c>
    </row>
    <row r="12" spans="2:8" x14ac:dyDescent="0.25">
      <c r="B12" t="s">
        <v>3</v>
      </c>
      <c r="C12" t="s">
        <v>19</v>
      </c>
      <c r="D12" t="s">
        <v>20</v>
      </c>
      <c r="E12">
        <f t="shared" si="0"/>
        <v>72.495833333333337</v>
      </c>
      <c r="F12">
        <f t="shared" si="1"/>
        <v>26.017499999999998</v>
      </c>
    </row>
    <row r="13" spans="2:8" x14ac:dyDescent="0.25">
      <c r="B13" t="s">
        <v>4</v>
      </c>
      <c r="C13" t="s">
        <v>21</v>
      </c>
      <c r="D13" t="s">
        <v>22</v>
      </c>
      <c r="E13">
        <f t="shared" si="0"/>
        <v>59.865833333333335</v>
      </c>
      <c r="F13">
        <f t="shared" si="1"/>
        <v>-5.2915000000000001</v>
      </c>
    </row>
    <row r="14" spans="2:8" x14ac:dyDescent="0.25">
      <c r="B14" t="s">
        <v>5</v>
      </c>
      <c r="C14" t="s">
        <v>23</v>
      </c>
      <c r="D14" t="s">
        <v>24</v>
      </c>
      <c r="E14">
        <f t="shared" si="0"/>
        <v>72.048833333333334</v>
      </c>
      <c r="F14">
        <f t="shared" si="1"/>
        <v>16.622666666666667</v>
      </c>
    </row>
    <row r="15" spans="2:8" x14ac:dyDescent="0.25">
      <c r="B15" t="s">
        <v>6</v>
      </c>
      <c r="C15" t="s">
        <v>25</v>
      </c>
      <c r="D15" t="s">
        <v>26</v>
      </c>
      <c r="E15">
        <f t="shared" si="0"/>
        <v>70.234255555555549</v>
      </c>
      <c r="F15">
        <f t="shared" si="1"/>
        <v>28.070194444444443</v>
      </c>
    </row>
    <row r="16" spans="2:8" x14ac:dyDescent="0.25">
      <c r="B16" t="s">
        <v>7</v>
      </c>
      <c r="C16" t="s">
        <v>37</v>
      </c>
      <c r="D16" t="s">
        <v>38</v>
      </c>
      <c r="E16">
        <f t="shared" si="0"/>
        <v>70.134038888888895</v>
      </c>
      <c r="F16">
        <f t="shared" si="1"/>
        <v>28.720322222222222</v>
      </c>
    </row>
    <row r="17" spans="2:8" x14ac:dyDescent="0.25">
      <c r="B17" t="s">
        <v>8</v>
      </c>
      <c r="C17" t="s">
        <v>27</v>
      </c>
      <c r="D17" t="s">
        <v>28</v>
      </c>
      <c r="E17">
        <f t="shared" si="0"/>
        <v>69.87148333333333</v>
      </c>
      <c r="F17">
        <f t="shared" si="1"/>
        <v>30.328783333333334</v>
      </c>
    </row>
    <row r="18" spans="2:8" x14ac:dyDescent="0.25">
      <c r="B18" t="s">
        <v>9</v>
      </c>
      <c r="C18" t="s">
        <v>35</v>
      </c>
      <c r="D18" t="s">
        <v>36</v>
      </c>
      <c r="E18">
        <f t="shared" si="0"/>
        <v>78.385247222222219</v>
      </c>
      <c r="F18">
        <f t="shared" si="1"/>
        <v>15.438502777777778</v>
      </c>
    </row>
    <row r="19" spans="2:8" x14ac:dyDescent="0.25">
      <c r="B19" t="s">
        <v>10</v>
      </c>
      <c r="C19" t="s">
        <v>29</v>
      </c>
      <c r="D19" t="s">
        <v>30</v>
      </c>
      <c r="E19">
        <f t="shared" si="0"/>
        <v>77.957972222222224</v>
      </c>
      <c r="F19">
        <f t="shared" si="1"/>
        <v>17.718305555555556</v>
      </c>
      <c r="H19" t="s">
        <v>50</v>
      </c>
    </row>
    <row r="20" spans="2:8" x14ac:dyDescent="0.25">
      <c r="B20" t="s">
        <v>11</v>
      </c>
      <c r="C20" t="s">
        <v>33</v>
      </c>
      <c r="D20" t="s">
        <v>34</v>
      </c>
      <c r="E20">
        <f t="shared" si="0"/>
        <v>58.571616666666664</v>
      </c>
      <c r="F20">
        <f t="shared" si="1"/>
        <v>5.2877472222222224</v>
      </c>
    </row>
    <row r="21" spans="2:8" x14ac:dyDescent="0.25">
      <c r="B21" t="s">
        <v>12</v>
      </c>
      <c r="C21" t="s">
        <v>31</v>
      </c>
      <c r="D21" t="s">
        <v>32</v>
      </c>
      <c r="E21">
        <f t="shared" si="0"/>
        <v>58.632805555555557</v>
      </c>
      <c r="F21">
        <f t="shared" si="1"/>
        <v>4.4406944444444445</v>
      </c>
    </row>
    <row r="22" spans="2:8" x14ac:dyDescent="0.25">
      <c r="B22" t="s">
        <v>46</v>
      </c>
      <c r="C22" t="s">
        <v>45</v>
      </c>
      <c r="D22" t="s">
        <v>47</v>
      </c>
      <c r="E22">
        <f t="shared" ref="E22" si="2">ParseLat(C22)</f>
        <v>77.821327777777782</v>
      </c>
      <c r="F22">
        <f t="shared" ref="F22" si="3">ParseLon(D22)</f>
        <v>15.116933333333334</v>
      </c>
    </row>
    <row r="24" spans="2:8" x14ac:dyDescent="0.25">
      <c r="E24" t="s">
        <v>44</v>
      </c>
    </row>
    <row r="25" spans="2:8" x14ac:dyDescent="0.25">
      <c r="B25" t="s">
        <v>6</v>
      </c>
      <c r="C25">
        <v>70.234255555555549</v>
      </c>
      <c r="D25">
        <v>28.070194444444443</v>
      </c>
      <c r="G25">
        <v>-15.5479</v>
      </c>
    </row>
    <row r="26" spans="2:8" x14ac:dyDescent="0.25">
      <c r="E26">
        <v>0.5</v>
      </c>
      <c r="F26">
        <f>GetBearing(C25,D25,C27,D27,E26)</f>
        <v>114.45278562142285</v>
      </c>
      <c r="G26" s="2">
        <f>F26+G25</f>
        <v>98.904885621422849</v>
      </c>
    </row>
    <row r="27" spans="2:8" x14ac:dyDescent="0.25">
      <c r="B27" t="s">
        <v>7</v>
      </c>
      <c r="C27">
        <v>70.134038888888895</v>
      </c>
      <c r="D27">
        <v>28.720322222222222</v>
      </c>
    </row>
    <row r="28" spans="2:8" x14ac:dyDescent="0.25">
      <c r="E28">
        <v>0.5</v>
      </c>
      <c r="F28">
        <f>GetBearing(C27,D27,C29,D29,E28)</f>
        <v>115.52001828397123</v>
      </c>
      <c r="G28" s="2">
        <f>F28+G25</f>
        <v>99.972118283971227</v>
      </c>
    </row>
    <row r="29" spans="2:8" x14ac:dyDescent="0.25">
      <c r="B29" t="s">
        <v>8</v>
      </c>
      <c r="C29">
        <v>69.87148333333333</v>
      </c>
      <c r="D29">
        <v>30.328783333333334</v>
      </c>
    </row>
    <row r="36" spans="2:13" x14ac:dyDescent="0.25">
      <c r="B36" t="s">
        <v>9</v>
      </c>
      <c r="C36">
        <v>78.385247222222219</v>
      </c>
      <c r="D36">
        <v>15.438502777777778</v>
      </c>
      <c r="F36">
        <v>-11.043799999999999</v>
      </c>
      <c r="G36" s="1">
        <f>F37+F36</f>
        <v>121.75371294198447</v>
      </c>
      <c r="M36">
        <v>-11.7957</v>
      </c>
    </row>
    <row r="37" spans="2:13" x14ac:dyDescent="0.25">
      <c r="E37">
        <v>6550</v>
      </c>
      <c r="F37" cm="1">
        <f t="array" ref="F37">GetBearing(C36,D36,C38,D38,E37/10000)</f>
        <v>132.79751294198448</v>
      </c>
      <c r="G37" s="1">
        <f>F37+M36</f>
        <v>121.00181294198448</v>
      </c>
      <c r="K37">
        <v>78.173883900000007</v>
      </c>
      <c r="L37">
        <v>16.598700000000001</v>
      </c>
    </row>
    <row r="38" spans="2:13" x14ac:dyDescent="0.25">
      <c r="B38" t="s">
        <v>10</v>
      </c>
      <c r="C38">
        <v>77.957972222222224</v>
      </c>
      <c r="D38">
        <v>17.718305555555556</v>
      </c>
      <c r="F38">
        <v>-12.4999</v>
      </c>
      <c r="G38" s="1">
        <f>F37+F38</f>
        <v>120.29761294198448</v>
      </c>
    </row>
    <row r="41" spans="2:13" x14ac:dyDescent="0.25">
      <c r="F41" cm="1">
        <f t="array" ref="F41">GetBearing(67,17,68,18,0.5)</f>
        <v>20.931181184351782</v>
      </c>
    </row>
    <row r="45" spans="2:13" x14ac:dyDescent="0.25">
      <c r="B45" t="s">
        <v>11</v>
      </c>
      <c r="C45">
        <v>58.571616666666664</v>
      </c>
      <c r="D45">
        <v>5.2877472222222224</v>
      </c>
      <c r="G45">
        <v>-2.0722</v>
      </c>
    </row>
    <row r="46" spans="2:13" x14ac:dyDescent="0.25">
      <c r="E46">
        <v>0.5</v>
      </c>
      <c r="F46">
        <f>GetBearing(C45,D45,C47,D47,E46)+360</f>
        <v>277.89439627523569</v>
      </c>
      <c r="G46" s="1">
        <f>F46+G45</f>
        <v>275.82219627523568</v>
      </c>
    </row>
    <row r="47" spans="2:13" x14ac:dyDescent="0.25">
      <c r="B47" t="s">
        <v>12</v>
      </c>
      <c r="C47">
        <v>58.632805555555557</v>
      </c>
      <c r="D47">
        <v>4.4406944444444445</v>
      </c>
    </row>
    <row r="52" spans="2:7" x14ac:dyDescent="0.25">
      <c r="B52" t="s">
        <v>48</v>
      </c>
      <c r="C52">
        <v>69</v>
      </c>
      <c r="D52">
        <v>17</v>
      </c>
      <c r="G52">
        <v>11.1</v>
      </c>
    </row>
    <row r="53" spans="2:7" x14ac:dyDescent="0.25">
      <c r="E53">
        <v>99</v>
      </c>
      <c r="F53">
        <f>GetBearing(C52,D52,C54,D54,0)+360</f>
        <v>285.93002736794023</v>
      </c>
      <c r="G53" s="1">
        <f>F53+G52</f>
        <v>297.03002736794025</v>
      </c>
    </row>
    <row r="54" spans="2:7" x14ac:dyDescent="0.25">
      <c r="B54" t="s">
        <v>49</v>
      </c>
      <c r="C54">
        <v>69</v>
      </c>
      <c r="D54">
        <v>-17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514350</xdr:colOff>
                    <xdr:row>55</xdr:row>
                    <xdr:rowOff>66675</xdr:rowOff>
                  </from>
                  <to>
                    <xdr:col>17</xdr:col>
                    <xdr:colOff>333375</xdr:colOff>
                    <xdr:row>57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Arild M Johannessen</dc:creator>
  <cp:lastModifiedBy>Arild Johannessen</cp:lastModifiedBy>
  <dcterms:created xsi:type="dcterms:W3CDTF">2022-07-31T21:35:22Z</dcterms:created>
  <dcterms:modified xsi:type="dcterms:W3CDTF">2024-02-11T13:46:16Z</dcterms:modified>
</cp:coreProperties>
</file>